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Avant de commencer" sheetId="2" state="visible" r:id="rId2"/>
    <sheet name="Comparateur" sheetId="3" state="visible" r:id="rId3"/>
    <sheet name="Histor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6B2FFA"/>
      <sz val="16"/>
    </font>
    <font>
      <name val="Arial"/>
      <color rgb="00FFA31A"/>
      <sz val="10"/>
    </font>
    <font>
      <name val="Arial"/>
      <b val="1"/>
      <color rgb="006B2FFA"/>
      <sz val="10"/>
    </font>
    <font>
      <name val="Arial"/>
      <sz val="10"/>
    </font>
    <font>
      <name val="Arial"/>
      <color rgb="006B6B78"/>
      <sz val="8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4D1A"/>
      <sz val="10"/>
    </font>
    <font>
      <name val="Arial"/>
      <color rgb="000000FF"/>
      <sz val="10"/>
    </font>
    <font>
      <name val="Arial"/>
      <color rgb="006B2FFA"/>
      <sz val="10"/>
    </font>
    <font>
      <name val="Arial"/>
      <b val="1"/>
      <sz val="11"/>
    </font>
    <font>
      <name val="Arial"/>
      <b val="1"/>
      <color rgb="008A5A00"/>
      <sz val="10"/>
    </font>
    <font>
      <name val="Arial"/>
      <i val="1"/>
      <color rgb="008A8A96"/>
      <sz val="10"/>
    </font>
  </fonts>
  <fills count="10">
    <fill>
      <patternFill/>
    </fill>
    <fill>
      <patternFill patternType="gray125"/>
    </fill>
    <fill>
      <patternFill patternType="solid">
        <fgColor rgb="00EFE9FF"/>
      </patternFill>
    </fill>
    <fill>
      <patternFill patternType="solid">
        <fgColor rgb="006B2FFA"/>
      </patternFill>
    </fill>
    <fill>
      <patternFill patternType="solid">
        <fgColor rgb="00FF4D1A"/>
      </patternFill>
    </fill>
    <fill>
      <patternFill patternType="solid">
        <fgColor rgb="00FFA31A"/>
      </patternFill>
    </fill>
    <fill>
      <patternFill patternType="solid">
        <fgColor rgb="00FFFF00"/>
      </patternFill>
    </fill>
    <fill>
      <patternFill patternType="solid">
        <fgColor rgb="00F2F2F6"/>
      </patternFill>
    </fill>
    <fill>
      <patternFill patternType="solid">
        <fgColor rgb="00FFF6E6"/>
      </patternFill>
    </fill>
    <fill>
      <patternFill patternType="solid">
        <fgColor rgb="00FFEDE6"/>
      </patternFill>
    </fill>
  </fills>
  <borders count="2">
    <border>
      <left/>
      <right/>
      <top/>
      <bottom/>
      <diagonal/>
    </border>
    <border>
      <left style="thin">
        <color rgb="00DCDCE4"/>
      </left>
      <right style="thin">
        <color rgb="00DCDCE4"/>
      </right>
      <top style="thin">
        <color rgb="00DCDCE4"/>
      </top>
      <bottom style="thin">
        <color rgb="00DCDCE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/>
    </xf>
    <xf numFmtId="0" fontId="7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4" borderId="0" applyAlignment="1" pivotButton="0" quotePrefix="0" xfId="0">
      <alignment vertical="center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6" fillId="5" borderId="0" applyAlignment="1" pivotButton="0" quotePrefix="0" xfId="0">
      <alignment vertical="center"/>
    </xf>
    <xf numFmtId="0" fontId="9" fillId="6" borderId="1" applyAlignment="1" pivotButton="0" quotePrefix="0" xfId="0">
      <alignment vertical="top" wrapText="1"/>
    </xf>
    <xf numFmtId="0" fontId="10" fillId="0" borderId="1" pivotButton="0" quotePrefix="0" xfId="0"/>
    <xf numFmtId="0" fontId="9" fillId="6" borderId="1" pivotButton="0" quotePrefix="0" xfId="0"/>
    <xf numFmtId="0" fontId="6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4" fontId="9" fillId="6" borderId="1" pivotButton="0" quotePrefix="0" xfId="0"/>
    <xf numFmtId="0" fontId="7" fillId="7" borderId="1" pivotButton="0" quotePrefix="0" xfId="0"/>
    <xf numFmtId="4" fontId="7" fillId="7" borderId="1" pivotButton="0" quotePrefix="0" xfId="0"/>
    <xf numFmtId="0" fontId="6" fillId="5" borderId="0" pivotButton="0" quotePrefix="0" xfId="0"/>
    <xf numFmtId="4" fontId="11" fillId="8" borderId="1" pivotButton="0" quotePrefix="0" xfId="0"/>
    <xf numFmtId="0" fontId="6" fillId="4" borderId="0" pivotButton="0" quotePrefix="0" xfId="0"/>
    <xf numFmtId="3" fontId="11" fillId="9" borderId="1" pivotButton="0" quotePrefix="0" xfId="0"/>
    <xf numFmtId="0" fontId="12" fillId="8" borderId="0" pivotButton="0" quotePrefix="0" xfId="0"/>
    <xf numFmtId="0" fontId="9" fillId="6" borderId="1" applyAlignment="1" pivotButton="0" quotePrefix="0" xfId="0">
      <alignment horizontal="center"/>
    </xf>
    <xf numFmtId="0" fontId="9" fillId="6" borderId="0" applyAlignment="1" pivotButton="0" quotePrefix="0" xfId="0">
      <alignment vertical="top" wrapText="1"/>
    </xf>
    <xf numFmtId="0" fontId="13" fillId="0" borderId="1" pivotButton="0" quotePrefix="0" xfId="0"/>
    <xf numFmtId="3" fontId="13" fillId="0" borderId="1" pivotButton="0" quotePrefix="0" xfId="0"/>
    <xf numFmtId="0" fontId="9" fillId="0" borderId="1" pivotButton="0" quotePrefix="0" xfId="0"/>
    <xf numFmtId="3" fontId="9" fillId="0" borderId="1" pivotButton="0" quotePrefix="0" xfId="0"/>
    <xf numFmtId="3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COMPARATEUR DE COTATIONS — FRET MARITIME</t>
        </is>
      </c>
    </row>
    <row r="3">
      <c r="B3" s="2" t="inlineStr">
        <is>
          <t>Bonzini Labs · Division Cargo</t>
        </is>
      </c>
    </row>
    <row r="6">
      <c r="B6" s="3" t="inlineStr">
        <is>
          <t>À QUOI SERT CE FICHIER</t>
        </is>
      </c>
    </row>
    <row r="7">
      <c r="B7" s="4" t="inlineStr">
        <is>
          <t>Comparer plusieurs offres de transport maritime pour un même conteneur, sur une base honnête.</t>
        </is>
      </c>
    </row>
    <row r="8">
      <c r="B8" s="4" t="inlineStr">
        <is>
          <t>Le piège du métier : une offre annoncée moins chère peut coûter plus cher une fois toutes les</t>
        </is>
      </c>
    </row>
    <row r="9">
      <c r="B9" s="4" t="inlineStr">
        <is>
          <t>surcharges ajoutées. Ce fichier force la comparaison sur le TOTAL, pas sur le prix affiché.</t>
        </is>
      </c>
    </row>
    <row r="11">
      <c r="B11" s="3" t="inlineStr">
        <is>
          <t>LES 4 ONGLETS</t>
        </is>
      </c>
    </row>
    <row r="12">
      <c r="B12" s="4" t="inlineStr">
        <is>
          <t>1. Mode d'emploi — cette page</t>
        </is>
      </c>
    </row>
    <row r="13">
      <c r="B13" s="4" t="inlineStr">
        <is>
          <t>2. Avant de commencer — ce qu'il faut préparer avant d'ouvrir les sites</t>
        </is>
      </c>
    </row>
    <row r="14">
      <c r="B14" s="4" t="inlineStr">
        <is>
          <t>3. Comparateur — la grille à remplir avec les offres reçues</t>
        </is>
      </c>
    </row>
    <row r="15">
      <c r="B15" s="4" t="inlineStr">
        <is>
          <t>4. Historique — le journal de toutes tes cotations, conteneur après conteneur</t>
        </is>
      </c>
    </row>
    <row r="17">
      <c r="B17" s="3" t="inlineStr">
        <is>
          <t>CODE COULEUR</t>
        </is>
      </c>
    </row>
    <row r="18">
      <c r="B18" s="4" t="inlineStr">
        <is>
          <t>Fond JAUNE  = cellule à remplir par toi</t>
        </is>
      </c>
    </row>
    <row r="19">
      <c r="B19" s="4" t="inlineStr">
        <is>
          <t>Texte BLEU  = valeur que tu saisis</t>
        </is>
      </c>
    </row>
    <row r="20">
      <c r="B20" s="4" t="inlineStr">
        <is>
          <t>Texte NOIR  = calcul automatique, ne pas modifier</t>
        </is>
      </c>
    </row>
    <row r="22">
      <c r="B22" s="3" t="inlineStr">
        <is>
          <t>COMMENT L'UTILISER</t>
        </is>
      </c>
    </row>
    <row r="23">
      <c r="B23" s="4" t="inlineStr">
        <is>
          <t>Étape 1 — Ouvre l'onglet « Avant de commencer » et rassemble tout ce qui est listé.</t>
        </is>
      </c>
    </row>
    <row r="24">
      <c r="B24" s="4" t="inlineStr">
        <is>
          <t>Étape 2 — Crée tes comptes chez les armateurs (liens dans l'onglet 2).</t>
        </is>
      </c>
    </row>
    <row r="25">
      <c r="B25" s="4" t="inlineStr">
        <is>
          <t>Étape 3 — Demande la même cotation à chacun, avec EXACTEMENT les mêmes paramètres.</t>
        </is>
      </c>
    </row>
    <row r="26">
      <c r="B26" s="4" t="inlineStr">
        <is>
          <t>Étape 4 — Reporte chaque offre dans l'onglet « Comparateur », ligne par ligne.</t>
        </is>
      </c>
    </row>
    <row r="27">
      <c r="B27" s="4" t="inlineStr">
        <is>
          <t>Étape 5 — Compare les TOTAUX, pas les prix de base. Puis regarde la section C.</t>
        </is>
      </c>
    </row>
    <row r="28">
      <c r="B28" s="4" t="inlineStr">
        <is>
          <t>Étape 6 — Reporte le résultat dans l'onglet « Historique ». C'est ta base de données prix.</t>
        </is>
      </c>
    </row>
    <row r="30">
      <c r="B30" s="3" t="inlineStr">
        <is>
          <t>LA RÈGLE D'OR</t>
        </is>
      </c>
    </row>
    <row r="31">
      <c r="B31" s="4" t="inlineStr">
        <is>
          <t>On ne compare jamais deux prix. On compare deux TOTAUX, rendus au même endroit.</t>
        </is>
      </c>
    </row>
    <row r="33">
      <c r="B33" s="3" t="inlineStr">
        <is>
          <t>QUESTION À POSER SYSTÉMATIQUEMENT</t>
        </is>
      </c>
    </row>
    <row r="34">
      <c r="B34" s="4" t="inlineStr">
        <is>
          <t>« Ce prix est-il tout compris jusqu'au terminal de Douala ? Si non, donnez-moi la liste</t>
        </is>
      </c>
    </row>
    <row r="35">
      <c r="B35" s="4" t="inlineStr">
        <is>
          <t>complète des surcharges, et dites-moi jusqu'à quelle date le prix est garanti. 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5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62" customWidth="1" min="3" max="3"/>
  </cols>
  <sheetData>
    <row r="2">
      <c r="B2" s="1" t="inlineStr">
        <is>
          <t>AVANT DE COMMENCER</t>
        </is>
      </c>
    </row>
    <row r="3">
      <c r="B3" s="5" t="inlineStr">
        <is>
          <t>Rassemble tout ceci AVANT d'ouvrir les sites — sinon tu devras t'interrompre.</t>
        </is>
      </c>
    </row>
    <row r="5" ht="20" customHeight="1">
      <c r="B5" s="6" t="inlineStr">
        <is>
          <t xml:space="preserve">  1 · DOCUMENTS POUR CRÉER LE COMPTE (vérification KYC)</t>
        </is>
      </c>
    </row>
    <row r="6">
      <c r="B6" s="7" t="inlineStr">
        <is>
          <t>Lettre d'approbation</t>
        </is>
      </c>
      <c r="C6" s="8" t="inlineStr">
        <is>
          <t>Sur papier à en-tête de l'entreprise, autorisant la personne à ouvrir le compte</t>
        </is>
      </c>
    </row>
    <row r="7">
      <c r="B7" s="7" t="inlineStr">
        <is>
          <t>Pièce d'identité entreprise</t>
        </is>
      </c>
      <c r="C7" s="8" t="inlineStr">
        <is>
          <t>Copie de la carte d'identité d'entreprise ou carte de visite</t>
        </is>
      </c>
    </row>
    <row r="8">
      <c r="B8" s="7" t="inlineStr">
        <is>
          <t>Justificatif d'adresse</t>
        </is>
      </c>
      <c r="C8" s="8" t="inlineStr">
        <is>
          <t>Facture d'électricité ou de téléphone au nom ET à l'adresse de l'entreprise</t>
        </is>
      </c>
    </row>
    <row r="9">
      <c r="B9" s="7" t="inlineStr">
        <is>
          <t>Preuve d'existence légale</t>
        </is>
      </c>
      <c r="C9" s="8" t="inlineStr">
        <is>
          <t>Licence commerciale, registre de commerce, attestation TVA, certificat fiscal, ou licence import-export</t>
        </is>
      </c>
    </row>
    <row r="10">
      <c r="B10" s="7" t="inlineStr">
        <is>
          <t>Adresse complète</t>
        </is>
      </c>
      <c r="C10" s="8" t="inlineStr">
        <is>
          <t>L'adresse postale complète de l'entreprise</t>
        </is>
      </c>
    </row>
    <row r="11">
      <c r="B11" s="7" t="inlineStr">
        <is>
          <t>Numéro fiscal</t>
        </is>
      </c>
      <c r="C11" s="8" t="inlineStr">
        <is>
          <t>Le numéro d'identification fiscale (NIU au Cameroun)</t>
        </is>
      </c>
    </row>
    <row r="12">
      <c r="B12" s="7" t="inlineStr">
        <is>
          <t>Email professionnel</t>
        </is>
      </c>
      <c r="C12" s="8" t="inlineStr">
        <is>
          <t>Le lien de validation expire en 48h — prévois d'être disponible</t>
        </is>
      </c>
    </row>
    <row r="14" ht="20" customHeight="1">
      <c r="B14" s="9" t="inlineStr">
        <is>
          <t xml:space="preserve">  2 · DÉCISION À PRENDRE AVANT — quelle entité ouvre le compte ?</t>
        </is>
      </c>
    </row>
    <row r="15">
      <c r="B15" s="10" t="inlineStr">
        <is>
          <t>Entité chinoise</t>
        </is>
      </c>
      <c r="C15" s="11" t="inlineStr">
        <is>
          <t>C'est elle qui charge le conteneur à Guangzhou. C'est donc le chargeur naturel sur le connaissement.</t>
        </is>
      </c>
    </row>
    <row r="16">
      <c r="B16" s="10" t="inlineStr">
        <is>
          <t>Norton Goss Bonzini SARL</t>
        </is>
      </c>
      <c r="C16" s="11" t="inlineStr">
        <is>
          <t>Entité camerounaise. C'est elle qui reçoit à Douala — le destinataire.</t>
        </is>
      </c>
    </row>
    <row r="17">
      <c r="B17" s="12" t="inlineStr">
        <is>
          <t>À TRANCHER</t>
        </is>
      </c>
      <c r="C17" s="11" t="inlineStr">
        <is>
          <t>Ouvre d'abord un compte avec l'entité qui a les documents les plus complets. Tu pourras ajouter l'autre ensuite. Ce choix sera repris au module 13.</t>
        </is>
      </c>
    </row>
    <row r="19" ht="20" customHeight="1">
      <c r="B19" s="13" t="inlineStr">
        <is>
          <t xml:space="preserve">  3 · LES DONNÉES DE TA SIMULATION (dossier BZ-CT-2604-01)</t>
        </is>
      </c>
    </row>
    <row r="20">
      <c r="B20" s="7" t="inlineStr">
        <is>
          <t>Port de départ</t>
        </is>
      </c>
      <c r="C20" s="8" t="inlineStr">
        <is>
          <t>Nansha (Guangzhou), Chine</t>
        </is>
      </c>
    </row>
    <row r="21">
      <c r="B21" s="7" t="inlineStr">
        <is>
          <t>Port d'arrivée</t>
        </is>
      </c>
      <c r="C21" s="8" t="inlineStr">
        <is>
          <t>Douala, Cameroun</t>
        </is>
      </c>
    </row>
    <row r="22">
      <c r="B22" s="7" t="inlineStr">
        <is>
          <t>Type de conteneur</t>
        </is>
      </c>
      <c r="C22" s="8" t="inlineStr">
        <is>
          <t>40' High Cube (40HC)</t>
        </is>
      </c>
    </row>
    <row r="23">
      <c r="B23" s="7" t="inlineStr">
        <is>
          <t>Nombre de conteneurs</t>
        </is>
      </c>
      <c r="C23" s="8" t="inlineStr">
        <is>
          <t>1</t>
        </is>
      </c>
    </row>
    <row r="24">
      <c r="B24" s="7" t="inlineStr">
        <is>
          <t>Date de départ souhaitée</t>
        </is>
      </c>
      <c r="C24" s="14" t="inlineStr">
        <is>
          <t>à saisir</t>
        </is>
      </c>
    </row>
    <row r="25">
      <c r="B25" s="7" t="inlineStr">
        <is>
          <t>Description marchandise</t>
        </is>
      </c>
      <c r="C25" s="8" t="inlineStr">
        <is>
          <t>Marchandise générale : papier, adhésifs, textile, quincaillerie, pièces détachées, cosmétiques</t>
        </is>
      </c>
    </row>
    <row r="26">
      <c r="B26" s="7" t="inlineStr">
        <is>
          <t>Poids brut total (kg)</t>
        </is>
      </c>
      <c r="C26" s="14" t="inlineStr">
        <is>
          <t>17 710</t>
        </is>
      </c>
    </row>
    <row r="27">
      <c r="B27" s="7" t="inlineStr">
        <is>
          <t>Volume total (m3)</t>
        </is>
      </c>
      <c r="C27" s="14" t="inlineStr">
        <is>
          <t>64</t>
        </is>
      </c>
    </row>
    <row r="28">
      <c r="B28" s="7" t="inlineStr">
        <is>
          <t>MARCHANDISE DANGEREUSE ?</t>
        </is>
      </c>
      <c r="C28" s="8" t="inlineStr">
        <is>
          <t>OUI — UN3481, Classe 9 (batteries lithium dans les téléphones)</t>
        </is>
      </c>
    </row>
    <row r="29">
      <c r="B29" s="7" t="inlineStr">
        <is>
          <t>Type de service souhaité</t>
        </is>
      </c>
      <c r="C29" s="8" t="inlineStr">
        <is>
          <t>CY/CY (conteneur sorti plein du port de Douala)</t>
        </is>
      </c>
    </row>
    <row r="30">
      <c r="B30" s="7" t="inlineStr">
        <is>
          <t>Incoterm</t>
        </is>
      </c>
      <c r="C30" s="14" t="inlineStr">
        <is>
          <t>à définir avec le client</t>
        </is>
      </c>
    </row>
    <row r="31">
      <c r="B31" s="7" t="inlineStr">
        <is>
          <t>Nom du chargeur (shipper)</t>
        </is>
      </c>
      <c r="C31" s="14" t="inlineStr">
        <is>
          <t>à saisir</t>
        </is>
      </c>
    </row>
    <row r="32">
      <c r="B32" s="7" t="inlineStr">
        <is>
          <t>Nom du destinataire (consignee)</t>
        </is>
      </c>
      <c r="C32" s="14" t="inlineStr">
        <is>
          <t>à saisir</t>
        </is>
      </c>
    </row>
    <row r="34" ht="20" customHeight="1">
      <c r="B34" s="9" t="inlineStr">
        <is>
          <t xml:space="preserve">  4 · LE TEST MALIN — fais DEUX simulations</t>
        </is>
      </c>
    </row>
    <row r="35">
      <c r="B35" s="10" t="inlineStr">
        <is>
          <t>Simulation A</t>
        </is>
      </c>
      <c r="C35" s="4" t="inlineStr">
        <is>
          <t>SANS déclarer la marchandise dangereuse (marchandise générale seule)</t>
        </is>
      </c>
    </row>
    <row r="36">
      <c r="B36" s="10" t="inlineStr">
        <is>
          <t>Simulation B</t>
        </is>
      </c>
      <c r="C36" s="4" t="inlineStr">
        <is>
          <t>AVEC la marchandise dangereuse déclarée (UN3481, classe 9)</t>
        </is>
      </c>
    </row>
    <row r="37">
      <c r="B37" s="12" t="inlineStr">
        <is>
          <t>L'écart =</t>
        </is>
      </c>
      <c r="C37" s="11" t="inlineStr">
        <is>
          <t>Le coût réel de tes téléphones dans ce conteneur. Personne ne te donnera ce chiffre autrement.</t>
        </is>
      </c>
    </row>
    <row r="39" ht="20" customHeight="1">
      <c r="B39" s="6" t="inlineStr">
        <is>
          <t xml:space="preserve">  5 · OÙ ALLER</t>
        </is>
      </c>
    </row>
    <row r="40">
      <c r="B40" s="7" t="inlineStr">
        <is>
          <t>Maersk — inscription</t>
        </is>
      </c>
      <c r="C40" s="15" t="inlineStr">
        <is>
          <t>accounts.maersk.com/ocean-maeu/auth/register</t>
        </is>
      </c>
    </row>
    <row r="41">
      <c r="B41" s="7" t="inlineStr">
        <is>
          <t>Maersk — produit Spot</t>
        </is>
      </c>
      <c r="C41" s="15" t="inlineStr">
        <is>
          <t>maersk.com/transportation-services/maersk-spot</t>
        </is>
      </c>
    </row>
    <row r="42">
      <c r="B42" s="7" t="inlineStr">
        <is>
          <t>CMA CGM — SpotOn</t>
        </is>
      </c>
      <c r="C42" s="15" t="inlineStr">
        <is>
          <t>cma-cgm.fr/my-cma-cgm/prices/cotation-spoton</t>
        </is>
      </c>
    </row>
    <row r="43">
      <c r="B43" s="7" t="inlineStr">
        <is>
          <t>MSC</t>
        </is>
      </c>
      <c r="C43" s="15" t="inlineStr">
        <is>
          <t>msc.com</t>
        </is>
      </c>
    </row>
    <row r="44">
      <c r="B44" s="7" t="inlineStr">
        <is>
          <t>COSCO</t>
        </is>
      </c>
      <c r="C44" s="15" t="inlineStr">
        <is>
          <t>lines.coscoshipping.com</t>
        </is>
      </c>
    </row>
    <row r="46" ht="20" customHeight="1">
      <c r="B46" s="9" t="inlineStr">
        <is>
          <t xml:space="preserve">  6 · ORDRE DE GRANDEUR — pour vérifier que ta cotation est plausible</t>
        </is>
      </c>
    </row>
    <row r="47">
      <c r="B47" s="10" t="inlineStr">
        <is>
          <t>Conteneur 20' Chine-&gt;Douala</t>
        </is>
      </c>
      <c r="C47" s="4" t="inlineStr">
        <is>
          <t>environ 1 800 à 4 500 USD</t>
        </is>
      </c>
    </row>
    <row r="48">
      <c r="B48" s="10" t="inlineStr">
        <is>
          <t>Conteneur 40' Chine-&gt;Douala</t>
        </is>
      </c>
      <c r="C48" s="4" t="inlineStr">
        <is>
          <t>environ 2 200 à 5 500 USD</t>
        </is>
      </c>
    </row>
    <row r="49">
      <c r="B49" s="10" t="inlineStr">
        <is>
          <t>Durée de transit</t>
        </is>
      </c>
      <c r="C49" s="4" t="inlineStr">
        <is>
          <t>environ 25 à 45 jours</t>
        </is>
      </c>
    </row>
    <row r="50">
      <c r="B50" s="12" t="inlineStr">
        <is>
          <t>ATTENTION</t>
        </is>
      </c>
      <c r="C50" s="11" t="inlineStr">
        <is>
          <t>Fourchettes de marché relevées en 2026, NON OFFICIELLES et très volatiles. Elles servent uniquement à détecter une cotation aberrante — jamais à construire un prix client.</t>
        </is>
      </c>
    </row>
  </sheetData>
  <mergeCells count="6">
    <mergeCell ref="B39:C39"/>
    <mergeCell ref="B19:C19"/>
    <mergeCell ref="B5:C5"/>
    <mergeCell ref="B34:C34"/>
    <mergeCell ref="B46:C46"/>
    <mergeCell ref="B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COMPARATEUR DE COTATIONS</t>
        </is>
      </c>
    </row>
    <row r="3">
      <c r="A3" s="10" t="inlineStr">
        <is>
          <t>Référence dossier</t>
        </is>
      </c>
      <c r="B3" s="16" t="inlineStr">
        <is>
          <t>BZ-CT-2604-01</t>
        </is>
      </c>
    </row>
    <row r="4">
      <c r="A4" s="10" t="inlineStr">
        <is>
          <t>Date de la cotation</t>
        </is>
      </c>
      <c r="B4" s="16" t="inlineStr">
        <is>
          <t>JJ/MM/AAAA</t>
        </is>
      </c>
    </row>
    <row r="5">
      <c r="A5" s="10" t="inlineStr">
        <is>
          <t>Taux de change : 1 USD = ... FCFA</t>
        </is>
      </c>
      <c r="B5" s="16" t="n">
        <v>600</v>
      </c>
      <c r="C5" s="5" t="inlineStr">
        <is>
          <t>&lt;- mets le taux du jour</t>
        </is>
      </c>
    </row>
    <row r="7" ht="24" customHeight="1">
      <c r="A7" s="17" t="inlineStr">
        <is>
          <t>Poste de coût</t>
        </is>
      </c>
      <c r="B7" s="17" t="inlineStr">
        <is>
          <t>Maersk</t>
        </is>
      </c>
      <c r="C7" s="17" t="inlineStr">
        <is>
          <t>CMA CGM</t>
        </is>
      </c>
      <c r="D7" s="17" t="inlineStr">
        <is>
          <t>MSC</t>
        </is>
      </c>
      <c r="E7" s="17" t="inlineStr">
        <is>
          <t>Intermédiaire 1</t>
        </is>
      </c>
      <c r="F7" s="17" t="inlineStr">
        <is>
          <t>Intermédiaire 2</t>
        </is>
      </c>
    </row>
    <row r="8">
      <c r="A8" s="3" t="inlineStr">
        <is>
          <t xml:space="preserve">  A · FRET MARITIME ET SURCHARGES  (en USD)</t>
        </is>
      </c>
    </row>
    <row r="9">
      <c r="A9" s="18" t="inlineStr">
        <is>
          <t>Fret maritime de base</t>
        </is>
      </c>
      <c r="B9" s="19" t="n"/>
      <c r="C9" s="19" t="n"/>
      <c r="D9" s="19" t="n"/>
      <c r="E9" s="19" t="n"/>
      <c r="F9" s="19" t="n"/>
    </row>
    <row r="10">
      <c r="A10" s="18" t="inlineStr">
        <is>
          <t>THC au départ (manutention Nansha)</t>
        </is>
      </c>
      <c r="B10" s="19" t="n"/>
      <c r="C10" s="19" t="n"/>
      <c r="D10" s="19" t="n"/>
      <c r="E10" s="19" t="n"/>
      <c r="F10" s="19" t="n"/>
    </row>
    <row r="11">
      <c r="A11" s="18" t="inlineStr">
        <is>
          <t>BAF — surcharge carburant</t>
        </is>
      </c>
      <c r="B11" s="19" t="n"/>
      <c r="C11" s="19" t="n"/>
      <c r="D11" s="19" t="n"/>
      <c r="E11" s="19" t="n"/>
      <c r="F11" s="19" t="n"/>
    </row>
    <row r="12">
      <c r="A12" s="18" t="inlineStr">
        <is>
          <t>ISPS — surcharge sûreté</t>
        </is>
      </c>
      <c r="B12" s="19" t="n"/>
      <c r="C12" s="19" t="n"/>
      <c r="D12" s="19" t="n"/>
      <c r="E12" s="19" t="n"/>
      <c r="F12" s="19" t="n"/>
    </row>
    <row r="13">
      <c r="A13" s="18" t="inlineStr">
        <is>
          <t>CAF — ajustement monétaire</t>
        </is>
      </c>
      <c r="B13" s="19" t="n"/>
      <c r="C13" s="19" t="n"/>
      <c r="D13" s="19" t="n"/>
      <c r="E13" s="19" t="n"/>
      <c r="F13" s="19" t="n"/>
    </row>
    <row r="14">
      <c r="A14" s="18" t="inlineStr">
        <is>
          <t>PSS — surcharge haute saison</t>
        </is>
      </c>
      <c r="B14" s="19" t="n"/>
      <c r="C14" s="19" t="n"/>
      <c r="D14" s="19" t="n"/>
      <c r="E14" s="19" t="n"/>
      <c r="F14" s="19" t="n"/>
    </row>
    <row r="15">
      <c r="A15" s="18" t="inlineStr">
        <is>
          <t>Frais de documentation / connaissement</t>
        </is>
      </c>
      <c r="B15" s="19" t="n"/>
      <c r="C15" s="19" t="n"/>
      <c r="D15" s="19" t="n"/>
      <c r="E15" s="19" t="n"/>
      <c r="F15" s="19" t="n"/>
    </row>
    <row r="16">
      <c r="A16" s="18" t="inlineStr">
        <is>
          <t>Plomb / scellé</t>
        </is>
      </c>
      <c r="B16" s="19" t="n"/>
      <c r="C16" s="19" t="n"/>
      <c r="D16" s="19" t="n"/>
      <c r="E16" s="19" t="n"/>
      <c r="F16" s="19" t="n"/>
    </row>
    <row r="17">
      <c r="A17" s="18" t="inlineStr">
        <is>
          <t>Surcharge marchandises dangereuses (UN3481)</t>
        </is>
      </c>
      <c r="B17" s="19" t="n"/>
      <c r="C17" s="19" t="n"/>
      <c r="D17" s="19" t="n"/>
      <c r="E17" s="19" t="n"/>
      <c r="F17" s="19" t="n"/>
    </row>
    <row r="18">
      <c r="A18" s="18" t="inlineStr">
        <is>
          <t>THC à l'arrivée (manutention Douala)</t>
        </is>
      </c>
      <c r="B18" s="19" t="n"/>
      <c r="C18" s="19" t="n"/>
      <c r="D18" s="19" t="n"/>
      <c r="E18" s="19" t="n"/>
      <c r="F18" s="19" t="n"/>
    </row>
    <row r="19">
      <c r="A19" s="18" t="inlineStr">
        <is>
          <t>Autres surcharges</t>
        </is>
      </c>
      <c r="B19" s="19" t="n"/>
      <c r="C19" s="19" t="n"/>
      <c r="D19" s="19" t="n"/>
      <c r="E19" s="19" t="n"/>
      <c r="F19" s="19" t="n"/>
    </row>
    <row r="20">
      <c r="A20" s="20" t="inlineStr">
        <is>
          <t>SOUS-TOTAL A</t>
        </is>
      </c>
      <c r="B20" s="21">
        <f>SUM(B9:B19)</f>
        <v/>
      </c>
      <c r="C20" s="21">
        <f>SUM(C9:C19)</f>
        <v/>
      </c>
      <c r="D20" s="21">
        <f>SUM(D9:D19)</f>
        <v/>
      </c>
      <c r="E20" s="21">
        <f>SUM(E9:E19)</f>
        <v/>
      </c>
      <c r="F20" s="21">
        <f>SUM(F9:F19)</f>
        <v/>
      </c>
    </row>
    <row r="22">
      <c r="A22" s="3" t="inlineStr">
        <is>
          <t xml:space="preserve">  B · OPÉRATIONS EN CHINE  (en USD)</t>
        </is>
      </c>
    </row>
    <row r="23">
      <c r="A23" s="18" t="inlineStr">
        <is>
          <t>Camion : entrepôt Guangzhou -&gt; terminal</t>
        </is>
      </c>
      <c r="B23" s="19" t="n"/>
      <c r="C23" s="19" t="n"/>
      <c r="D23" s="19" t="n"/>
      <c r="E23" s="19" t="n"/>
      <c r="F23" s="19" t="n"/>
    </row>
    <row r="24">
      <c r="A24" s="18" t="inlineStr">
        <is>
          <t>Déclaration d'exportation chinoise</t>
        </is>
      </c>
      <c r="B24" s="19" t="n"/>
      <c r="C24" s="19" t="n"/>
      <c r="D24" s="19" t="n"/>
      <c r="E24" s="19" t="n"/>
      <c r="F24" s="19" t="n"/>
    </row>
    <row r="25">
      <c r="A25" s="18" t="inlineStr">
        <is>
          <t>Manutention / empotage (si sous-traité)</t>
        </is>
      </c>
      <c r="B25" s="19" t="n"/>
      <c r="C25" s="19" t="n"/>
      <c r="D25" s="19" t="n"/>
      <c r="E25" s="19" t="n"/>
      <c r="F25" s="19" t="n"/>
    </row>
    <row r="26">
      <c r="A26" s="18" t="inlineStr">
        <is>
          <t>Autres frais au départ</t>
        </is>
      </c>
      <c r="B26" s="19" t="n"/>
      <c r="C26" s="19" t="n"/>
      <c r="D26" s="19" t="n"/>
      <c r="E26" s="19" t="n"/>
      <c r="F26" s="19" t="n"/>
    </row>
    <row r="27">
      <c r="A27" s="20" t="inlineStr">
        <is>
          <t>SOUS-TOTAL B</t>
        </is>
      </c>
      <c r="B27" s="21">
        <f>SUM(B23:B26)</f>
        <v/>
      </c>
      <c r="C27" s="21">
        <f>SUM(C23:C26)</f>
        <v/>
      </c>
      <c r="D27" s="21">
        <f>SUM(D23:D26)</f>
        <v/>
      </c>
      <c r="E27" s="21">
        <f>SUM(E23:E26)</f>
        <v/>
      </c>
      <c r="F27" s="21">
        <f>SUM(F23:F26)</f>
        <v/>
      </c>
    </row>
    <row r="29">
      <c r="A29" s="22" t="inlineStr">
        <is>
          <t>TOTAL EN USD</t>
        </is>
      </c>
      <c r="B29" s="23">
        <f>B20+B27</f>
        <v/>
      </c>
      <c r="C29" s="23">
        <f>C20+C27</f>
        <v/>
      </c>
      <c r="D29" s="23">
        <f>D20+D27</f>
        <v/>
      </c>
      <c r="E29" s="23">
        <f>E20+E27</f>
        <v/>
      </c>
      <c r="F29" s="23">
        <f>F20+F27</f>
        <v/>
      </c>
    </row>
    <row r="30">
      <c r="A30" s="24" t="inlineStr">
        <is>
          <t>TOTAL EN FCFA</t>
        </is>
      </c>
      <c r="B30" s="25">
        <f>B29*$B$5</f>
        <v/>
      </c>
      <c r="C30" s="25">
        <f>C29*$B$5</f>
        <v/>
      </c>
      <c r="D30" s="25">
        <f>D29*$B$5</f>
        <v/>
      </c>
      <c r="E30" s="25">
        <f>E29*$B$5</f>
        <v/>
      </c>
      <c r="F30" s="25">
        <f>F29*$B$5</f>
        <v/>
      </c>
    </row>
    <row r="32">
      <c r="A32" s="26" t="inlineStr">
        <is>
          <t xml:space="preserve">  C · CE QUI N'EST PAS UN PRIX — mais qui décide autant</t>
        </is>
      </c>
    </row>
    <row r="33">
      <c r="A33" s="18" t="inlineStr">
        <is>
          <t>Service direct ? (oui / non)</t>
        </is>
      </c>
      <c r="B33" s="27" t="n"/>
      <c r="C33" s="27" t="n"/>
      <c r="D33" s="27" t="n"/>
      <c r="E33" s="27" t="n"/>
      <c r="F33" s="27" t="n"/>
    </row>
    <row r="34">
      <c r="A34" s="18" t="inlineStr">
        <is>
          <t>Nombre de transbordements</t>
        </is>
      </c>
      <c r="B34" s="27" t="n"/>
      <c r="C34" s="27" t="n"/>
      <c r="D34" s="27" t="n"/>
      <c r="E34" s="27" t="n"/>
      <c r="F34" s="27" t="n"/>
    </row>
    <row r="35">
      <c r="A35" s="18" t="inlineStr">
        <is>
          <t>Lieu(x) de transbordement</t>
        </is>
      </c>
      <c r="B35" s="27" t="n"/>
      <c r="C35" s="27" t="n"/>
      <c r="D35" s="27" t="n"/>
      <c r="E35" s="27" t="n"/>
      <c r="F35" s="27" t="n"/>
    </row>
    <row r="36">
      <c r="A36" s="18" t="inlineStr">
        <is>
          <t>Durée de transit annoncée (jours)</t>
        </is>
      </c>
      <c r="B36" s="27" t="n"/>
      <c r="C36" s="27" t="n"/>
      <c r="D36" s="27" t="n"/>
      <c r="E36" s="27" t="n"/>
      <c r="F36" s="27" t="n"/>
    </row>
    <row r="37">
      <c r="A37" s="18" t="inlineStr">
        <is>
          <t>Fréquence des départs (par semaine)</t>
        </is>
      </c>
      <c r="B37" s="27" t="n"/>
      <c r="C37" s="27" t="n"/>
      <c r="D37" s="27" t="n"/>
      <c r="E37" s="27" t="n"/>
      <c r="F37" s="27" t="n"/>
    </row>
    <row r="38">
      <c r="A38" s="18" t="inlineStr">
        <is>
          <t>Date de cut-off</t>
        </is>
      </c>
      <c r="B38" s="27" t="n"/>
      <c r="C38" s="27" t="n"/>
      <c r="D38" s="27" t="n"/>
      <c r="E38" s="27" t="n"/>
      <c r="F38" s="27" t="n"/>
    </row>
    <row r="39">
      <c r="A39" s="18" t="inlineStr">
        <is>
          <t>Garantie de chargement ? (oui / non)</t>
        </is>
      </c>
      <c r="B39" s="27" t="n"/>
      <c r="C39" s="27" t="n"/>
      <c r="D39" s="27" t="n"/>
      <c r="E39" s="27" t="n"/>
      <c r="F39" s="27" t="n"/>
    </row>
    <row r="40">
      <c r="A40" s="18" t="inlineStr">
        <is>
          <t>Prix valable jusqu'au</t>
        </is>
      </c>
      <c r="B40" s="27" t="n"/>
      <c r="C40" s="27" t="n"/>
      <c r="D40" s="27" t="n"/>
      <c r="E40" s="27" t="n"/>
      <c r="F40" s="27" t="n"/>
    </row>
    <row r="41">
      <c r="A41" s="18" t="inlineStr">
        <is>
          <t>Jours de franchise au départ</t>
        </is>
      </c>
      <c r="B41" s="27" t="n"/>
      <c r="C41" s="27" t="n"/>
      <c r="D41" s="27" t="n"/>
      <c r="E41" s="27" t="n"/>
      <c r="F41" s="27" t="n"/>
    </row>
    <row r="42">
      <c r="A42" s="18" t="inlineStr">
        <is>
          <t>Jours de franchise à l'arrivée (Douala)</t>
        </is>
      </c>
      <c r="B42" s="27" t="n"/>
      <c r="C42" s="27" t="n"/>
      <c r="D42" s="27" t="n"/>
      <c r="E42" s="27" t="n"/>
      <c r="F42" s="27" t="n"/>
    </row>
    <row r="44">
      <c r="A44" s="3" t="inlineStr">
        <is>
          <t xml:space="preserve">  D · DÉCISION</t>
        </is>
      </c>
    </row>
    <row r="45">
      <c r="A45" s="7" t="inlineStr">
        <is>
          <t>Offre retenue et pourquoi</t>
        </is>
      </c>
      <c r="B45" s="28" t="n"/>
    </row>
    <row r="46"/>
    <row r="47"/>
  </sheetData>
  <mergeCells count="5">
    <mergeCell ref="A44:F44"/>
    <mergeCell ref="A32:F32"/>
    <mergeCell ref="A8:F8"/>
    <mergeCell ref="A22:F22"/>
    <mergeCell ref="B45:F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8" customWidth="1" min="5" max="5"/>
    <col width="15" customWidth="1" min="6" max="6"/>
    <col width="12" customWidth="1" min="7" max="7"/>
    <col width="14" customWidth="1" min="8" max="8"/>
    <col width="16" customWidth="1" min="9" max="9"/>
    <col width="10" customWidth="1" min="10" max="10"/>
    <col width="11" customWidth="1" min="11" max="11"/>
    <col width="45" customWidth="1" min="12" max="12"/>
  </cols>
  <sheetData>
    <row r="1">
      <c r="A1" s="1" t="inlineStr">
        <is>
          <t>HISTORIQUE DES COTATIONS</t>
        </is>
      </c>
    </row>
    <row r="2">
      <c r="A2" s="5" t="inlineStr">
        <is>
          <t>Une ligne par cotation obtenue. Au bout de 30 lignes, tu connais le marché mieux que ton transitaire.</t>
        </is>
      </c>
    </row>
    <row r="4" ht="26" customHeight="1">
      <c r="A4" s="17" t="inlineStr">
        <is>
          <t>Date</t>
        </is>
      </c>
      <c r="B4" s="17" t="inlineStr">
        <is>
          <t>Réf. dossier</t>
        </is>
      </c>
      <c r="C4" s="17" t="inlineStr">
        <is>
          <t>Port départ</t>
        </is>
      </c>
      <c r="D4" s="17" t="inlineStr">
        <is>
          <t>Port arrivée</t>
        </is>
      </c>
      <c r="E4" s="17" t="inlineStr">
        <is>
          <t>Fournisseur</t>
        </is>
      </c>
      <c r="F4" s="17" t="inlineStr">
        <is>
          <t>Type conteneur</t>
        </is>
      </c>
      <c r="G4" s="17" t="inlineStr">
        <is>
          <t>Total USD</t>
        </is>
      </c>
      <c r="H4" s="17" t="inlineStr">
        <is>
          <t>Transit (jours)</t>
        </is>
      </c>
      <c r="I4" s="17" t="inlineStr">
        <is>
          <t>Transbordements</t>
        </is>
      </c>
      <c r="J4" s="17" t="inlineStr">
        <is>
          <t>Direct ?</t>
        </is>
      </c>
      <c r="K4" s="17" t="inlineStr">
        <is>
          <t>Retenue ?</t>
        </is>
      </c>
      <c r="L4" s="17" t="inlineStr">
        <is>
          <t>Notes</t>
        </is>
      </c>
    </row>
    <row r="5">
      <c r="A5" s="29" t="inlineStr">
        <is>
          <t>07/09/2026</t>
        </is>
      </c>
      <c r="B5" s="29" t="inlineStr">
        <is>
          <t>BZ-CT-2604-01</t>
        </is>
      </c>
      <c r="C5" s="29" t="inlineStr">
        <is>
          <t>Nansha</t>
        </is>
      </c>
      <c r="D5" s="29" t="inlineStr">
        <is>
          <t>Douala</t>
        </is>
      </c>
      <c r="E5" s="29" t="inlineStr">
        <is>
          <t>Maersk Spot</t>
        </is>
      </c>
      <c r="F5" s="29" t="inlineStr">
        <is>
          <t>40HC</t>
        </is>
      </c>
      <c r="G5" s="30" t="n">
        <v>3150</v>
      </c>
      <c r="H5" s="29" t="n">
        <v>38</v>
      </c>
      <c r="I5" s="29" t="n">
        <v>1</v>
      </c>
      <c r="J5" s="29" t="inlineStr">
        <is>
          <t>Non</t>
        </is>
      </c>
      <c r="K5" s="29" t="inlineStr">
        <is>
          <t>Oui</t>
        </is>
      </c>
      <c r="L5" s="29" t="inlineStr">
        <is>
          <t>EXEMPLE — remplace cette ligne. Transbordement Tanger Med.</t>
        </is>
      </c>
    </row>
    <row r="6">
      <c r="A6" s="31" t="n"/>
      <c r="B6" s="31" t="n"/>
      <c r="C6" s="31" t="n"/>
      <c r="D6" s="31" t="n"/>
      <c r="E6" s="31" t="n"/>
      <c r="F6" s="31" t="n"/>
      <c r="G6" s="32" t="n"/>
      <c r="H6" s="31" t="n"/>
      <c r="I6" s="31" t="n"/>
      <c r="J6" s="31" t="n"/>
      <c r="K6" s="31" t="n"/>
      <c r="L6" s="31" t="n"/>
    </row>
    <row r="7">
      <c r="A7" s="31" t="n"/>
      <c r="B7" s="31" t="n"/>
      <c r="C7" s="31" t="n"/>
      <c r="D7" s="31" t="n"/>
      <c r="E7" s="31" t="n"/>
      <c r="F7" s="31" t="n"/>
      <c r="G7" s="32" t="n"/>
      <c r="H7" s="31" t="n"/>
      <c r="I7" s="31" t="n"/>
      <c r="J7" s="31" t="n"/>
      <c r="K7" s="31" t="n"/>
      <c r="L7" s="31" t="n"/>
    </row>
    <row r="8">
      <c r="A8" s="31" t="n"/>
      <c r="B8" s="31" t="n"/>
      <c r="C8" s="31" t="n"/>
      <c r="D8" s="31" t="n"/>
      <c r="E8" s="31" t="n"/>
      <c r="F8" s="31" t="n"/>
      <c r="G8" s="32" t="n"/>
      <c r="H8" s="31" t="n"/>
      <c r="I8" s="31" t="n"/>
      <c r="J8" s="31" t="n"/>
      <c r="K8" s="31" t="n"/>
      <c r="L8" s="31" t="n"/>
    </row>
    <row r="9">
      <c r="A9" s="31" t="n"/>
      <c r="B9" s="31" t="n"/>
      <c r="C9" s="31" t="n"/>
      <c r="D9" s="31" t="n"/>
      <c r="E9" s="31" t="n"/>
      <c r="F9" s="31" t="n"/>
      <c r="G9" s="32" t="n"/>
      <c r="H9" s="31" t="n"/>
      <c r="I9" s="31" t="n"/>
      <c r="J9" s="31" t="n"/>
      <c r="K9" s="31" t="n"/>
      <c r="L9" s="31" t="n"/>
    </row>
    <row r="10">
      <c r="A10" s="31" t="n"/>
      <c r="B10" s="31" t="n"/>
      <c r="C10" s="31" t="n"/>
      <c r="D10" s="31" t="n"/>
      <c r="E10" s="31" t="n"/>
      <c r="F10" s="31" t="n"/>
      <c r="G10" s="32" t="n"/>
      <c r="H10" s="31" t="n"/>
      <c r="I10" s="31" t="n"/>
      <c r="J10" s="31" t="n"/>
      <c r="K10" s="31" t="n"/>
      <c r="L10" s="31" t="n"/>
    </row>
    <row r="11">
      <c r="A11" s="31" t="n"/>
      <c r="B11" s="31" t="n"/>
      <c r="C11" s="31" t="n"/>
      <c r="D11" s="31" t="n"/>
      <c r="E11" s="31" t="n"/>
      <c r="F11" s="31" t="n"/>
      <c r="G11" s="32" t="n"/>
      <c r="H11" s="31" t="n"/>
      <c r="I11" s="31" t="n"/>
      <c r="J11" s="31" t="n"/>
      <c r="K11" s="31" t="n"/>
      <c r="L11" s="31" t="n"/>
    </row>
    <row r="12">
      <c r="A12" s="31" t="n"/>
      <c r="B12" s="31" t="n"/>
      <c r="C12" s="31" t="n"/>
      <c r="D12" s="31" t="n"/>
      <c r="E12" s="31" t="n"/>
      <c r="F12" s="31" t="n"/>
      <c r="G12" s="32" t="n"/>
      <c r="H12" s="31" t="n"/>
      <c r="I12" s="31" t="n"/>
      <c r="J12" s="31" t="n"/>
      <c r="K12" s="31" t="n"/>
      <c r="L12" s="31" t="n"/>
    </row>
    <row r="13">
      <c r="A13" s="31" t="n"/>
      <c r="B13" s="31" t="n"/>
      <c r="C13" s="31" t="n"/>
      <c r="D13" s="31" t="n"/>
      <c r="E13" s="31" t="n"/>
      <c r="F13" s="31" t="n"/>
      <c r="G13" s="32" t="n"/>
      <c r="H13" s="31" t="n"/>
      <c r="I13" s="31" t="n"/>
      <c r="J13" s="31" t="n"/>
      <c r="K13" s="31" t="n"/>
      <c r="L13" s="31" t="n"/>
    </row>
    <row r="14">
      <c r="A14" s="31" t="n"/>
      <c r="B14" s="31" t="n"/>
      <c r="C14" s="31" t="n"/>
      <c r="D14" s="31" t="n"/>
      <c r="E14" s="31" t="n"/>
      <c r="F14" s="31" t="n"/>
      <c r="G14" s="32" t="n"/>
      <c r="H14" s="31" t="n"/>
      <c r="I14" s="31" t="n"/>
      <c r="J14" s="31" t="n"/>
      <c r="K14" s="31" t="n"/>
      <c r="L14" s="31" t="n"/>
    </row>
    <row r="15">
      <c r="A15" s="31" t="n"/>
      <c r="B15" s="31" t="n"/>
      <c r="C15" s="31" t="n"/>
      <c r="D15" s="31" t="n"/>
      <c r="E15" s="31" t="n"/>
      <c r="F15" s="31" t="n"/>
      <c r="G15" s="32" t="n"/>
      <c r="H15" s="31" t="n"/>
      <c r="I15" s="31" t="n"/>
      <c r="J15" s="31" t="n"/>
      <c r="K15" s="31" t="n"/>
      <c r="L15" s="31" t="n"/>
    </row>
    <row r="16">
      <c r="A16" s="31" t="n"/>
      <c r="B16" s="31" t="n"/>
      <c r="C16" s="31" t="n"/>
      <c r="D16" s="31" t="n"/>
      <c r="E16" s="31" t="n"/>
      <c r="F16" s="31" t="n"/>
      <c r="G16" s="32" t="n"/>
      <c r="H16" s="31" t="n"/>
      <c r="I16" s="31" t="n"/>
      <c r="J16" s="31" t="n"/>
      <c r="K16" s="31" t="n"/>
      <c r="L16" s="31" t="n"/>
    </row>
    <row r="17">
      <c r="A17" s="31" t="n"/>
      <c r="B17" s="31" t="n"/>
      <c r="C17" s="31" t="n"/>
      <c r="D17" s="31" t="n"/>
      <c r="E17" s="31" t="n"/>
      <c r="F17" s="31" t="n"/>
      <c r="G17" s="32" t="n"/>
      <c r="H17" s="31" t="n"/>
      <c r="I17" s="31" t="n"/>
      <c r="J17" s="31" t="n"/>
      <c r="K17" s="31" t="n"/>
      <c r="L17" s="31" t="n"/>
    </row>
    <row r="18">
      <c r="A18" s="31" t="n"/>
      <c r="B18" s="31" t="n"/>
      <c r="C18" s="31" t="n"/>
      <c r="D18" s="31" t="n"/>
      <c r="E18" s="31" t="n"/>
      <c r="F18" s="31" t="n"/>
      <c r="G18" s="32" t="n"/>
      <c r="H18" s="31" t="n"/>
      <c r="I18" s="31" t="n"/>
      <c r="J18" s="31" t="n"/>
      <c r="K18" s="31" t="n"/>
      <c r="L18" s="31" t="n"/>
    </row>
    <row r="19">
      <c r="A19" s="31" t="n"/>
      <c r="B19" s="31" t="n"/>
      <c r="C19" s="31" t="n"/>
      <c r="D19" s="31" t="n"/>
      <c r="E19" s="31" t="n"/>
      <c r="F19" s="31" t="n"/>
      <c r="G19" s="32" t="n"/>
      <c r="H19" s="31" t="n"/>
      <c r="I19" s="31" t="n"/>
      <c r="J19" s="31" t="n"/>
      <c r="K19" s="31" t="n"/>
      <c r="L19" s="31" t="n"/>
    </row>
    <row r="20">
      <c r="A20" s="31" t="n"/>
      <c r="B20" s="31" t="n"/>
      <c r="C20" s="31" t="n"/>
      <c r="D20" s="31" t="n"/>
      <c r="E20" s="31" t="n"/>
      <c r="F20" s="31" t="n"/>
      <c r="G20" s="32" t="n"/>
      <c r="H20" s="31" t="n"/>
      <c r="I20" s="31" t="n"/>
      <c r="J20" s="31" t="n"/>
      <c r="K20" s="31" t="n"/>
      <c r="L20" s="31" t="n"/>
    </row>
    <row r="21">
      <c r="A21" s="31" t="n"/>
      <c r="B21" s="31" t="n"/>
      <c r="C21" s="31" t="n"/>
      <c r="D21" s="31" t="n"/>
      <c r="E21" s="31" t="n"/>
      <c r="F21" s="31" t="n"/>
      <c r="G21" s="32" t="n"/>
      <c r="H21" s="31" t="n"/>
      <c r="I21" s="31" t="n"/>
      <c r="J21" s="31" t="n"/>
      <c r="K21" s="31" t="n"/>
      <c r="L21" s="31" t="n"/>
    </row>
    <row r="22">
      <c r="A22" s="31" t="n"/>
      <c r="B22" s="31" t="n"/>
      <c r="C22" s="31" t="n"/>
      <c r="D22" s="31" t="n"/>
      <c r="E22" s="31" t="n"/>
      <c r="F22" s="31" t="n"/>
      <c r="G22" s="32" t="n"/>
      <c r="H22" s="31" t="n"/>
      <c r="I22" s="31" t="n"/>
      <c r="J22" s="31" t="n"/>
      <c r="K22" s="31" t="n"/>
      <c r="L22" s="31" t="n"/>
    </row>
    <row r="23">
      <c r="A23" s="31" t="n"/>
      <c r="B23" s="31" t="n"/>
      <c r="C23" s="31" t="n"/>
      <c r="D23" s="31" t="n"/>
      <c r="E23" s="31" t="n"/>
      <c r="F23" s="31" t="n"/>
      <c r="G23" s="32" t="n"/>
      <c r="H23" s="31" t="n"/>
      <c r="I23" s="31" t="n"/>
      <c r="J23" s="31" t="n"/>
      <c r="K23" s="31" t="n"/>
      <c r="L23" s="31" t="n"/>
    </row>
    <row r="24">
      <c r="A24" s="31" t="n"/>
      <c r="B24" s="31" t="n"/>
      <c r="C24" s="31" t="n"/>
      <c r="D24" s="31" t="n"/>
      <c r="E24" s="31" t="n"/>
      <c r="F24" s="31" t="n"/>
      <c r="G24" s="32" t="n"/>
      <c r="H24" s="31" t="n"/>
      <c r="I24" s="31" t="n"/>
      <c r="J24" s="31" t="n"/>
      <c r="K24" s="31" t="n"/>
      <c r="L24" s="31" t="n"/>
    </row>
    <row r="25">
      <c r="A25" s="31" t="n"/>
      <c r="B25" s="31" t="n"/>
      <c r="C25" s="31" t="n"/>
      <c r="D25" s="31" t="n"/>
      <c r="E25" s="31" t="n"/>
      <c r="F25" s="31" t="n"/>
      <c r="G25" s="32" t="n"/>
      <c r="H25" s="31" t="n"/>
      <c r="I25" s="31" t="n"/>
      <c r="J25" s="31" t="n"/>
      <c r="K25" s="31" t="n"/>
      <c r="L25" s="31" t="n"/>
    </row>
    <row r="26">
      <c r="A26" s="31" t="n"/>
      <c r="B26" s="31" t="n"/>
      <c r="C26" s="31" t="n"/>
      <c r="D26" s="31" t="n"/>
      <c r="E26" s="31" t="n"/>
      <c r="F26" s="31" t="n"/>
      <c r="G26" s="32" t="n"/>
      <c r="H26" s="31" t="n"/>
      <c r="I26" s="31" t="n"/>
      <c r="J26" s="31" t="n"/>
      <c r="K26" s="31" t="n"/>
      <c r="L26" s="31" t="n"/>
    </row>
    <row r="27">
      <c r="A27" s="31" t="n"/>
      <c r="B27" s="31" t="n"/>
      <c r="C27" s="31" t="n"/>
      <c r="D27" s="31" t="n"/>
      <c r="E27" s="31" t="n"/>
      <c r="F27" s="31" t="n"/>
      <c r="G27" s="32" t="n"/>
      <c r="H27" s="31" t="n"/>
      <c r="I27" s="31" t="n"/>
      <c r="J27" s="31" t="n"/>
      <c r="K27" s="31" t="n"/>
      <c r="L27" s="31" t="n"/>
    </row>
    <row r="28">
      <c r="A28" s="31" t="n"/>
      <c r="B28" s="31" t="n"/>
      <c r="C28" s="31" t="n"/>
      <c r="D28" s="31" t="n"/>
      <c r="E28" s="31" t="n"/>
      <c r="F28" s="31" t="n"/>
      <c r="G28" s="32" t="n"/>
      <c r="H28" s="31" t="n"/>
      <c r="I28" s="31" t="n"/>
      <c r="J28" s="31" t="n"/>
      <c r="K28" s="31" t="n"/>
      <c r="L28" s="31" t="n"/>
    </row>
    <row r="29">
      <c r="A29" s="31" t="n"/>
      <c r="B29" s="31" t="n"/>
      <c r="C29" s="31" t="n"/>
      <c r="D29" s="31" t="n"/>
      <c r="E29" s="31" t="n"/>
      <c r="F29" s="31" t="n"/>
      <c r="G29" s="32" t="n"/>
      <c r="H29" s="31" t="n"/>
      <c r="I29" s="31" t="n"/>
      <c r="J29" s="31" t="n"/>
      <c r="K29" s="31" t="n"/>
      <c r="L29" s="31" t="n"/>
    </row>
    <row r="30">
      <c r="A30" s="31" t="n"/>
      <c r="B30" s="31" t="n"/>
      <c r="C30" s="31" t="n"/>
      <c r="D30" s="31" t="n"/>
      <c r="E30" s="31" t="n"/>
      <c r="F30" s="31" t="n"/>
      <c r="G30" s="32" t="n"/>
      <c r="H30" s="31" t="n"/>
      <c r="I30" s="31" t="n"/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2" t="n"/>
      <c r="H31" s="31" t="n"/>
      <c r="I31" s="31" t="n"/>
      <c r="J31" s="31" t="n"/>
      <c r="K31" s="31" t="n"/>
      <c r="L31" s="31" t="n"/>
    </row>
    <row r="32">
      <c r="A32" s="31" t="n"/>
      <c r="B32" s="31" t="n"/>
      <c r="C32" s="31" t="n"/>
      <c r="D32" s="31" t="n"/>
      <c r="E32" s="31" t="n"/>
      <c r="F32" s="31" t="n"/>
      <c r="G32" s="32" t="n"/>
      <c r="H32" s="31" t="n"/>
      <c r="I32" s="31" t="n"/>
      <c r="J32" s="31" t="n"/>
      <c r="K32" s="31" t="n"/>
      <c r="L32" s="31" t="n"/>
    </row>
    <row r="33">
      <c r="A33" s="31" t="n"/>
      <c r="B33" s="31" t="n"/>
      <c r="C33" s="31" t="n"/>
      <c r="D33" s="31" t="n"/>
      <c r="E33" s="31" t="n"/>
      <c r="F33" s="31" t="n"/>
      <c r="G33" s="32" t="n"/>
      <c r="H33" s="31" t="n"/>
      <c r="I33" s="31" t="n"/>
      <c r="J33" s="31" t="n"/>
      <c r="K33" s="31" t="n"/>
      <c r="L33" s="31" t="n"/>
    </row>
    <row r="34">
      <c r="A34" s="31" t="n"/>
      <c r="B34" s="31" t="n"/>
      <c r="C34" s="31" t="n"/>
      <c r="D34" s="31" t="n"/>
      <c r="E34" s="31" t="n"/>
      <c r="F34" s="31" t="n"/>
      <c r="G34" s="32" t="n"/>
      <c r="H34" s="31" t="n"/>
      <c r="I34" s="31" t="n"/>
      <c r="J34" s="31" t="n"/>
      <c r="K34" s="31" t="n"/>
      <c r="L34" s="31" t="n"/>
    </row>
    <row r="35">
      <c r="A35" s="31" t="n"/>
      <c r="B35" s="31" t="n"/>
      <c r="C35" s="31" t="n"/>
      <c r="D35" s="31" t="n"/>
      <c r="E35" s="31" t="n"/>
      <c r="F35" s="31" t="n"/>
      <c r="G35" s="32" t="n"/>
      <c r="H35" s="31" t="n"/>
      <c r="I35" s="31" t="n"/>
      <c r="J35" s="31" t="n"/>
      <c r="K35" s="31" t="n"/>
      <c r="L35" s="31" t="n"/>
    </row>
    <row r="36">
      <c r="A36" s="31" t="n"/>
      <c r="B36" s="31" t="n"/>
      <c r="C36" s="31" t="n"/>
      <c r="D36" s="31" t="n"/>
      <c r="E36" s="31" t="n"/>
      <c r="F36" s="31" t="n"/>
      <c r="G36" s="32" t="n"/>
      <c r="H36" s="31" t="n"/>
      <c r="I36" s="31" t="n"/>
      <c r="J36" s="31" t="n"/>
      <c r="K36" s="31" t="n"/>
      <c r="L36" s="31" t="n"/>
    </row>
    <row r="37">
      <c r="A37" s="31" t="n"/>
      <c r="B37" s="31" t="n"/>
      <c r="C37" s="31" t="n"/>
      <c r="D37" s="31" t="n"/>
      <c r="E37" s="31" t="n"/>
      <c r="F37" s="31" t="n"/>
      <c r="G37" s="32" t="n"/>
      <c r="H37" s="31" t="n"/>
      <c r="I37" s="31" t="n"/>
      <c r="J37" s="31" t="n"/>
      <c r="K37" s="31" t="n"/>
      <c r="L37" s="31" t="n"/>
    </row>
    <row r="38">
      <c r="A38" s="31" t="n"/>
      <c r="B38" s="31" t="n"/>
      <c r="C38" s="31" t="n"/>
      <c r="D38" s="31" t="n"/>
      <c r="E38" s="31" t="n"/>
      <c r="F38" s="31" t="n"/>
      <c r="G38" s="32" t="n"/>
      <c r="H38" s="31" t="n"/>
      <c r="I38" s="31" t="n"/>
      <c r="J38" s="31" t="n"/>
      <c r="K38" s="31" t="n"/>
      <c r="L38" s="31" t="n"/>
    </row>
    <row r="39">
      <c r="A39" s="31" t="n"/>
      <c r="B39" s="31" t="n"/>
      <c r="C39" s="31" t="n"/>
      <c r="D39" s="31" t="n"/>
      <c r="E39" s="31" t="n"/>
      <c r="F39" s="31" t="n"/>
      <c r="G39" s="32" t="n"/>
      <c r="H39" s="31" t="n"/>
      <c r="I39" s="31" t="n"/>
      <c r="J39" s="31" t="n"/>
      <c r="K39" s="31" t="n"/>
      <c r="L39" s="31" t="n"/>
    </row>
    <row r="41">
      <c r="F41" s="10" t="inlineStr">
        <is>
          <t>Moyenne USD</t>
        </is>
      </c>
      <c r="G41" s="33">
        <f>IFERROR(AVERAGE(G6:G39),"")</f>
        <v/>
      </c>
    </row>
    <row r="42">
      <c r="F42" s="10" t="inlineStr">
        <is>
          <t>Prix le plus bas</t>
        </is>
      </c>
      <c r="G42" s="33">
        <f>IFERROR(MIN(G6:G39),"")</f>
        <v/>
      </c>
    </row>
    <row r="43">
      <c r="F43" s="10" t="inlineStr">
        <is>
          <t>Prix le plus haut</t>
        </is>
      </c>
      <c r="G43" s="33">
        <f>IFERROR(MAX(G6:G39),"")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2026-09-07T14:07:35Z</dcterms:created>
  <dcterms:modified xsi:type="dcterms:W3CDTF">2026-09-07T14:07:35Z</dcterms:modified>
</cp:coreProperties>
</file>